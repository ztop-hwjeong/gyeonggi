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1D9CDA9-952E-400D-9B3D-97FEC1853893}" xr6:coauthVersionLast="47" xr6:coauthVersionMax="47" xr10:uidLastSave="{00000000-0000-0000-0000-000000000000}"/>
  <bookViews>
    <workbookView xWindow="6855" yWindow="2205" windowWidth="28800" windowHeight="11295" xr2:uid="{00000000-000D-0000-FFFF-FFFF00000000}"/>
  </bookViews>
  <sheets>
    <sheet name="요약_통계" sheetId="1" r:id="rId1"/>
    <sheet name="보도기사별_분류상세" sheetId="2" r:id="rId2"/>
  </sheets>
  <definedNames>
    <definedName name="_xlnm._FilterDatabase" localSheetId="1" hidden="1">보도기사별_분류상세!$A$1:$F$2</definedName>
  </definedNames>
  <calcPr calcId="191028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/>
  <c r="C7" i="1"/>
  <c r="D7" i="1"/>
  <c r="C8" i="1"/>
  <c r="D8" i="1"/>
  <c r="C9" i="1"/>
  <c r="D9" i="1"/>
  <c r="C10" i="1"/>
  <c r="D10" i="1"/>
  <c r="D14" i="1"/>
</calcChain>
</file>

<file path=xl/sharedStrings.xml><?xml version="1.0" encoding="utf-8"?>
<sst xmlns="http://schemas.openxmlformats.org/spreadsheetml/2006/main" count="19" uniqueCount="17">
  <si>
    <t>경기도교육청 국정감사 언론보도 분석 종합 요약</t>
  </si>
  <si>
    <t>1. 언론 논조별 분석 집계</t>
  </si>
  <si>
    <t>구분</t>
  </si>
  <si>
    <t>기사 수(건)</t>
  </si>
  <si>
    <t>비중(%)</t>
  </si>
  <si>
    <t>긍정 보도</t>
  </si>
  <si>
    <t>중립 보도</t>
  </si>
  <si>
    <t>부정 보도</t>
  </si>
  <si>
    <t>합계</t>
  </si>
  <si>
    <t>2. 주요 이슈별 보도 분포(이슈별 중복 카운트)</t>
    <phoneticPr fontId="10" type="noConversion"/>
  </si>
  <si>
    <t>주요 이슈 주제</t>
  </si>
  <si>
    <t>주요 키워드</t>
  </si>
  <si>
    <t>번호</t>
  </si>
  <si>
    <t>언론사(출처)</t>
  </si>
  <si>
    <t>기사 제목</t>
  </si>
  <si>
    <t>언론 논조</t>
  </si>
  <si>
    <t>분류 세부 사유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</si>
</sst>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276A3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16"/>
      <color rgb="FF1F497D"/>
      <name val="맑은 고딕"/>
      <family val="3"/>
      <charset val="129"/>
    </font>
    <font>
      <b/>
      <sz val="11"/>
      <color rgb="FF595959"/>
      <name val="맑은 고딕"/>
      <family val="3"/>
      <charset val="129"/>
    </font>
    <font>
      <b/>
      <sz val="12"/>
      <color rgb="FF1F497D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6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/>
    </xf>
    <xf numFmtId="176" fontId="2" fillId="0" borderId="2" xfId="0" applyNumberFormat="1" applyFont="1" applyBorder="1" applyAlignment="1">
      <alignment horizontal="right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right" vertical="center"/>
    </xf>
    <xf numFmtId="176" fontId="9" fillId="5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</cellXfs>
  <cellStyles count="1">
    <cellStyle name="표준" xfId="0" builtinId="0"/>
  </cellStyles>
  <dxfs count="3">
    <dxf>
      <font>
        <b/>
        <sz val="10"/>
        <color rgb="FF276A3C"/>
        <name val="맑은 고딕"/>
        <family val="3"/>
        <charset val="129"/>
      </font>
      <fill>
        <patternFill patternType="solid">
          <fgColor rgb="FFE2EFDA"/>
          <bgColor rgb="FFE2EFDA"/>
        </patternFill>
      </fill>
    </dxf>
    <dxf>
      <font>
        <sz val="10"/>
        <color rgb="FF595959"/>
        <name val="맑은 고딕"/>
        <family val="3"/>
        <charset val="129"/>
      </font>
      <fill>
        <patternFill patternType="solid">
          <fgColor rgb="FFF2F2F2"/>
          <bgColor rgb="FFF2F2F2"/>
        </patternFill>
      </fill>
    </dxf>
    <dxf>
      <font>
        <b/>
        <sz val="10"/>
        <color rgb="FFC00000"/>
        <name val="맑은 고딕"/>
        <family val="3"/>
        <charset val="129"/>
      </font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4"/>
  <sheetViews>
    <sheetView tabSelected="1" workbookViewId="0">
      <selection activeCell="L14" sqref="L14"/>
    </sheetView>
  </sheetViews>
  <sheetFormatPr defaultRowHeight="16.5"/>
  <cols>
    <col min="1" max="1" width="3" customWidth="1"/>
    <col min="2" max="2" width="38" customWidth="1"/>
    <col min="3" max="3" width="18" customWidth="1"/>
    <col min="4" max="4" width="15" customWidth="1"/>
  </cols>
  <sheetData>
    <row r="2" spans="2:4" ht="26.25">
      <c r="B2" s="1" t="s">
        <v>0</v>
      </c>
    </row>
    <row r="3" spans="2:4">
      <c r="B3" s="2" t="str">
        <f>"분석 기준일: {{analysis_date}} | 분석 대상: 총 "&amp;TEXT(C10,"#,##0")&amp;"건 보도기사"</f>
        <v>분석 기준일: {{analysis_date}} | 분석 대상: 총 0건 보도기사</v>
      </c>
    </row>
    <row r="5" spans="2:4" ht="17.25">
      <c r="B5" s="3" t="s">
        <v>1</v>
      </c>
    </row>
    <row r="6" spans="2:4">
      <c r="B6" s="4" t="s">
        <v>2</v>
      </c>
      <c r="C6" s="4" t="s">
        <v>3</v>
      </c>
      <c r="D6" s="4" t="s">
        <v>4</v>
      </c>
    </row>
    <row r="7" spans="2:4">
      <c r="B7" s="5" t="s">
        <v>5</v>
      </c>
      <c r="C7" s="6" t="n">
        <f>COUNTIFS('보도기사별_분류상세'!$D:$D,"&lt;&gt;",'보도기사별_분류상세'!$E:$E,"긍정")</f>
        <v>0</v>
      </c>
      <c r="D7" s="7" t="n">
        <f>IF($C$10=0,0,C7/$C$10)</f>
        <v>0</v>
      </c>
    </row>
    <row r="8" spans="2:4">
      <c r="B8" s="5" t="s">
        <v>6</v>
      </c>
      <c r="C8" s="6" t="n">
        <f>COUNTIFS('보도기사별_분류상세'!$D:$D,"&lt;&gt;",'보도기사별_분류상세'!$E:$E,"중립")</f>
        <v>0</v>
      </c>
      <c r="D8" s="7" t="n">
        <f>IF($C$10=0,0,C8/$C$10)</f>
        <v>0</v>
      </c>
    </row>
    <row r="9" spans="2:4">
      <c r="B9" s="5" t="s">
        <v>7</v>
      </c>
      <c r="C9" s="6" t="n">
        <f>COUNTIFS('보도기사별_분류상세'!$D:$D,"&lt;&gt;",'보도기사별_분류상세'!$E:$E,"부정")</f>
        <v>0</v>
      </c>
      <c r="D9" s="7" t="n">
        <f>IF($C$10=0,0,C9/$C$10)</f>
        <v>0</v>
      </c>
    </row>
    <row r="10" spans="2:4">
      <c r="B10" s="8" t="s">
        <v>8</v>
      </c>
      <c r="C10" s="9" t="n">
        <f>COUNTA('보도기사별_분류상세'!$D:$D)-1</f>
        <v>0</v>
      </c>
      <c r="D10" s="10" t="n">
        <f>SUM(D7:D9)</f>
        <v>0</v>
      </c>
    </row>
    <row r="12" spans="2:4" ht="17.25">
      <c r="B12" s="3" t="s">
        <v>9</v>
      </c>
    </row>
    <row r="13" spans="2:4">
      <c r="B13" s="4" t="s">
        <v>10</v>
      </c>
      <c r="C13" s="4" t="s">
        <v>11</v>
      </c>
      <c r="D13" s="4" t="s">
        <v>3</v>
      </c>
    </row>
    <row r="14" spans="2:4">
      <c r="B14" s="11" t="inlineStr">
        <is>
          <t>#{{issues | noheader}}</t>
        </is>
      </c>
      <c r="C14" s="12"/>
      <c r="D14" s="6">
        <f>IF(TRIM(SUBSTITUTE(C14,",",""))="",0,_xlfn.LET(_xlpm.parts,TRIM(_xlfn.TEXTSPLIT(C14,",")),_xlpm.terms,_xlfn._xlws.FILTER(_xlpm.parts,_xlpm.parts&lt;&gt;""),_xlpm.articles,_xlfn._xlws.FILTER('보도기사별_분류상세'!$B$2:$B$1048576&amp;"",'보도기사별_분류상세'!$D$2:$D$1048576&lt;&gt;"",""),SUMPRODUCT(--(MMULT(--ISNUMBER(SEARCH(_xlpm.terms,_xlpm.articles)),_xlfn.SEQUENCE(COLUMNS(_xlpm.terms),1,1,0))&gt;0))))</f>
      </c>
    </row>
  </sheetData>
  <phoneticPr fontId="10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 activeCell="C9" sqref="C9"/>
    </sheetView>
  </sheetViews>
  <sheetFormatPr defaultRowHeight="24" customHeight="1"/>
  <cols>
    <col min="1" max="1" width="8" customWidth="1"/>
    <col min="2" max="3" width="15" customWidth="1"/>
    <col min="4" max="4" width="82" customWidth="1"/>
    <col min="5" max="5" width="12" customWidth="1"/>
    <col min="6" max="6" width="87" bestFit="1" customWidth="1"/>
  </cols>
  <sheetData>
    <row r="1" spans="1:6" ht="27.95" customHeight="1">
      <c r="A1" s="13" t="s">
        <v>12</v>
      </c>
      <c r="B1" s="13" t="s">
        <v>11</v>
      </c>
      <c r="C1" s="13" t="s">
        <v>13</v>
      </c>
      <c r="D1" s="13" t="s">
        <v>14</v>
      </c>
      <c r="E1" s="13" t="s">
        <v>15</v>
      </c>
      <c r="F1" s="13" t="s">
        <v>16</v>
      </c>
    </row>
    <row r="2" spans="1:6" ht="24" customHeight="1">
      <c r="A2" s="12" t="inlineStr">
        <is>
          <t>#{{articles | noheader}}</t>
        </is>
      </c>
      <c r="B2" s="12"/>
      <c r="C2" s="12"/>
      <c r="D2" s="11"/>
      <c r="E2" s="14"/>
      <c r="F2" s="11"/>
    </row>
  </sheetData>
  <autoFilter ref="A1:F2" xr:uid="{00000000-0009-0000-0000-000001000000}"/>
  <phoneticPr fontId="10" type="noConversion"/>
  <conditionalFormatting sqref="E2:E1048576">
    <cfRule type="expression" dxfId="0" priority="1">
      <formula>E2="긍정"</formula>
    </cfRule>
    <cfRule type="expression" dxfId="1" priority="2">
      <formula>E2="중립"</formula>
    </cfRule>
    <cfRule type="expression" dxfId="2" priority="3">
      <formula>E2="부정"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694EE25D94F24BAE83F8846D810E52" ma:contentTypeVersion="3" ma:contentTypeDescription="새 문서를 만듭니다." ma:contentTypeScope="" ma:versionID="5df60e2f9b2ef20272bb13593166f84b">
  <xsd:schema xmlns:xsd="http://www.w3.org/2001/XMLSchema" xmlns:xs="http://www.w3.org/2001/XMLSchema" xmlns:p="http://schemas.microsoft.com/office/2006/metadata/properties" xmlns:ns2="9567838c-aa57-4880-b367-3b5afe59a2cb" targetNamespace="http://schemas.microsoft.com/office/2006/metadata/properties" ma:root="true" ma:fieldsID="55eba53d8e11bcca4cedc9f4e9931bae" ns2:_="">
    <xsd:import namespace="9567838c-aa57-4880-b367-3b5afe59a2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7838c-aa57-4880-b367-3b5afe59a2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FE490-FA32-4FE2-9EB2-701AA03FFDE6}"/>
</file>

<file path=customXml/itemProps2.xml><?xml version="1.0" encoding="utf-8"?>
<ds:datastoreItem xmlns:ds="http://schemas.openxmlformats.org/officeDocument/2006/customXml" ds:itemID="{DE491F8B-DAE8-4953-877F-F091980EDEBB}"/>
</file>

<file path=customXml/itemProps3.xml><?xml version="1.0" encoding="utf-8"?>
<ds:datastoreItem xmlns:ds="http://schemas.openxmlformats.org/officeDocument/2006/customXml" ds:itemID="{4F3AA771-98BF-4281-9140-6BF51E7843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정 현우</cp:lastModifiedBy>
  <cp:revision/>
  <dcterms:created xsi:type="dcterms:W3CDTF">2026-10-14T12:09:35Z</dcterms:created>
  <dcterms:modified xsi:type="dcterms:W3CDTF">2026-10-21T10:43:02Z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0x01010001694EE25D94F24BAE83F8846D810E52</vt:lpwstr>
  </property>
</Properties>
</file>